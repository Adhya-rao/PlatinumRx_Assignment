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EC1AF21-6C7E-4572-8152-4DD31555D28E}" xr6:coauthVersionLast="47" xr6:coauthVersionMax="47" xr10:uidLastSave="{00000000-0000-0000-0000-000000000000}"/>
  <bookViews>
    <workbookView xWindow="-108" yWindow="-108" windowWidth="23256" windowHeight="12456" xr2:uid="{D824D242-B95B-45F1-960D-67FD8E588471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B13" i="1"/>
  <c r="C12" i="1"/>
  <c r="B12" i="1"/>
  <c r="G3" i="1"/>
  <c r="G4" i="1"/>
  <c r="G5" i="1"/>
  <c r="G2" i="1"/>
  <c r="F3" i="1"/>
  <c r="F4" i="1"/>
  <c r="F5" i="1"/>
  <c r="F2" i="1"/>
  <c r="D3" i="2"/>
  <c r="D4" i="2"/>
  <c r="D5" i="2"/>
  <c r="D2" i="2"/>
</calcChain>
</file>

<file path=xl/sharedStrings.xml><?xml version="1.0" encoding="utf-8"?>
<sst xmlns="http://schemas.openxmlformats.org/spreadsheetml/2006/main" count="32" uniqueCount="23">
  <si>
    <t>created_at</t>
  </si>
  <si>
    <t>closed_at</t>
  </si>
  <si>
    <t xml:space="preserve">outlet_id </t>
  </si>
  <si>
    <t>cms_id</t>
  </si>
  <si>
    <t>isu-sjd-457</t>
  </si>
  <si>
    <t>wrqy-juv-978</t>
  </si>
  <si>
    <t>vew-iuvd-12</t>
  </si>
  <si>
    <t>qer-fal-092</t>
  </si>
  <si>
    <t>abc-123</t>
  </si>
  <si>
    <t>xyz-789</t>
  </si>
  <si>
    <t>ticket_id</t>
  </si>
  <si>
    <t>8woh-k3u-23b</t>
  </si>
  <si>
    <t>cms-002</t>
  </si>
  <si>
    <t>cms-003</t>
  </si>
  <si>
    <t>cms-004</t>
  </si>
  <si>
    <t>feedback_at</t>
  </si>
  <si>
    <t>feedback_rating</t>
  </si>
  <si>
    <t>ticket_created_at</t>
  </si>
  <si>
    <t>same_day</t>
  </si>
  <si>
    <t>same_hour</t>
  </si>
  <si>
    <t>same_day_count</t>
  </si>
  <si>
    <t>outlet_id</t>
  </si>
  <si>
    <t>same_hor_count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</si>
</sst>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BA47-43D8-4369-AC78-11EAC712EE53}">
  <dimension ref="A1:G13"/>
  <sheetViews>
    <sheetView tabSelected="1" workbookViewId="0">
      <selection activeCell="F4" sqref="F4"/>
    </sheetView>
  </sheetViews>
  <sheetFormatPr defaultRowHeight="14.4" x14ac:dyDescent="0.3"/>
  <cols>
    <col min="1" max="1" width="20.88671875" customWidth="1"/>
    <col min="2" max="2" width="19.33203125" customWidth="1"/>
    <col min="3" max="3" width="18.6640625" customWidth="1"/>
    <col min="4" max="4" width="28.44140625" customWidth="1"/>
    <col min="5" max="5" width="30.77734375" customWidth="1"/>
  </cols>
  <sheetData>
    <row r="1" spans="1:7" x14ac:dyDescent="0.3">
      <c r="A1" s="2" t="s">
        <v>10</v>
      </c>
      <c r="B1" t="s">
        <v>0</v>
      </c>
      <c r="C1" t="s">
        <v>1</v>
      </c>
      <c r="D1" t="s">
        <v>2</v>
      </c>
      <c r="E1" t="s">
        <v>3</v>
      </c>
      <c r="F1" t="s">
        <v>18</v>
      </c>
      <c r="G1" t="s">
        <v>19</v>
      </c>
    </row>
    <row r="2" spans="1:7" x14ac:dyDescent="0.3">
      <c r="A2" t="s">
        <v>4</v>
      </c>
      <c r="B2" s="1">
        <v>44427.698414351849</v>
      </c>
      <c r="C2" s="1">
        <v>44430.523287037038</v>
      </c>
      <c r="D2" t="s">
        <v>5</v>
      </c>
      <c r="E2" t="s">
        <v>6</v>
      </c>
      <c r="F2" t="str">
        <f>IF(INT(B2)=INT(C2),"Yes","No")</f>
        <v>No</v>
      </c>
      <c r="G2" t="str">
        <f>IF(AND(INT(B2)=INT(C2),HOUR(B2)=HOUR(C2)),"Yes","No")</f>
        <v>No</v>
      </c>
    </row>
    <row r="3" spans="1:7" x14ac:dyDescent="0.3">
      <c r="A3" t="s">
        <v>7</v>
      </c>
      <c r="B3" s="1">
        <v>44429.464837962965</v>
      </c>
      <c r="C3" s="1">
        <v>44429.717881944445</v>
      </c>
      <c r="D3" t="s">
        <v>11</v>
      </c>
      <c r="E3" t="s">
        <v>12</v>
      </c>
      <c r="F3" t="str">
        <f t="shared" ref="F3:F5" si="0">IF(INT(B3)=INT(C3),"Yes","No")</f>
        <v>Yes</v>
      </c>
      <c r="G3" t="str">
        <f t="shared" ref="G3:G5" si="1">IF(AND(INT(B3)=INT(C3),HOUR(B3)=HOUR(C3)),"Yes","No")</f>
        <v>No</v>
      </c>
    </row>
    <row r="4" spans="1:7" x14ac:dyDescent="0.3">
      <c r="A4" t="s">
        <v>8</v>
      </c>
      <c r="B4" s="1">
        <v>44429.416666666664</v>
      </c>
      <c r="C4" s="1">
        <v>44429.4375</v>
      </c>
      <c r="D4" t="s">
        <v>5</v>
      </c>
      <c r="E4" t="s">
        <v>13</v>
      </c>
      <c r="F4" t="str">
        <f t="shared" si="0"/>
        <v>Yes</v>
      </c>
      <c r="G4" t="str">
        <f t="shared" si="1"/>
        <v>Yes</v>
      </c>
    </row>
    <row r="5" spans="1:7" x14ac:dyDescent="0.3">
      <c r="A5" t="s">
        <v>9</v>
      </c>
      <c r="B5" s="1">
        <v>44430.375</v>
      </c>
      <c r="C5" s="1">
        <v>44430.458333333336</v>
      </c>
      <c r="D5" t="s">
        <v>11</v>
      </c>
      <c r="E5" t="s">
        <v>14</v>
      </c>
      <c r="F5" t="str">
        <f t="shared" si="0"/>
        <v>Yes</v>
      </c>
      <c r="G5" t="str">
        <f t="shared" si="1"/>
        <v>No</v>
      </c>
    </row>
    <row r="11" spans="1:7" x14ac:dyDescent="0.3">
      <c r="A11" t="s">
        <v>21</v>
      </c>
      <c r="B11" t="s">
        <v>20</v>
      </c>
      <c r="C11" t="s">
        <v>22</v>
      </c>
    </row>
    <row r="12" spans="1:7" x14ac:dyDescent="0.3">
      <c r="A12" t="s">
        <v>5</v>
      </c>
      <c r="B12">
        <f>COUNTIFS(D:D,"wrqy-juv-978",F:F,"Yes")</f>
        <v>1</v>
      </c>
      <c r="C12">
        <f>COUNTIFS(D:D,"wrqy-juv-978",G:G,"Yes")</f>
        <v>1</v>
      </c>
    </row>
    <row r="13" spans="1:7" x14ac:dyDescent="0.3">
      <c r="A13" t="s">
        <v>11</v>
      </c>
      <c r="B13">
        <f>COUNTIFS(D:D,"8woh-k3u-23b",F:F,"Yes")</f>
        <v>2</v>
      </c>
      <c r="C13">
        <f>COUNTIFS(D:D,"8woh-k3u-23b",G:G,"Yes")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FECC-78D6-4925-BC8B-E0D73A764885}">
  <dimension ref="A1:D5"/>
  <sheetViews>
    <sheetView workbookViewId="0">
      <selection activeCell="D5" sqref="D5"/>
    </sheetView>
  </sheetViews>
  <sheetFormatPr defaultRowHeight="14.4" x14ac:dyDescent="0.3"/>
  <cols>
    <col min="2" max="2" width="16.21875" customWidth="1"/>
    <col min="3" max="3" width="20.21875" customWidth="1"/>
    <col min="4" max="4" width="18.109375" bestFit="1" customWidth="1"/>
  </cols>
  <sheetData>
    <row r="1" spans="1:4" x14ac:dyDescent="0.3">
      <c r="A1" t="s">
        <v>3</v>
      </c>
      <c r="B1" t="s">
        <v>15</v>
      </c>
      <c r="C1" t="s">
        <v>16</v>
      </c>
      <c r="D1" t="s">
        <v>17</v>
      </c>
    </row>
    <row r="2" spans="1:4" x14ac:dyDescent="0.3">
      <c r="A2" t="s">
        <v>6</v>
      </c>
      <c r="B2" s="1">
        <v>44429.560277777775</v>
      </c>
      <c r="C2">
        <v>3</v>
      </c>
      <c r="D2" s="3">
        <f>INDEX(ticket!B:B, MATCH(A2, ticket!E:E, 0))</f>
        <v>44427.698414351849</v>
      </c>
    </row>
    <row r="3" spans="1:4" x14ac:dyDescent="0.3">
      <c r="A3" t="s">
        <v>12</v>
      </c>
      <c r="B3" s="1">
        <v>44430.583333333336</v>
      </c>
      <c r="C3">
        <v>4</v>
      </c>
      <c r="D3" s="3">
        <f>INDEX(ticket!B:B, MATCH(A3, ticket!E:E, 0))</f>
        <v>44429.464837962965</v>
      </c>
    </row>
    <row r="4" spans="1:4" x14ac:dyDescent="0.3">
      <c r="A4" t="s">
        <v>13</v>
      </c>
      <c r="B4" s="1">
        <v>44429.458333333336</v>
      </c>
      <c r="C4">
        <v>5</v>
      </c>
      <c r="D4" s="3">
        <f>INDEX(ticket!B:B, MATCH(A4, ticket!E:E, 0))</f>
        <v>44429.416666666664</v>
      </c>
    </row>
    <row r="5" spans="1:4" x14ac:dyDescent="0.3">
      <c r="A5" t="s">
        <v>14</v>
      </c>
      <c r="B5" s="1">
        <v>44430.5</v>
      </c>
      <c r="C5">
        <v>2</v>
      </c>
      <c r="D5" s="3">
        <f>INDEX(ticket!B:B, MATCH(A5, ticket!E:E, 0))</f>
        <v>44430.375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Adhya Rao</dc:creator>
  <cp:lastModifiedBy>Adhya Rao</cp:lastModifiedBy>
  <dcterms:created xsi:type="dcterms:W3CDTF">2026-04-08T16:11:18Z</dcterms:created>
  <dcterms:modified xsi:type="dcterms:W3CDTF">2026-04-09T05:20:05Z</dcterms:modified>
</cp:coreProperties>
</file>